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/>
  </bookViews>
  <sheets>
    <sheet name="Sheet1" sheetId="1" r:id="rId1"/>
  </sheets>
  <definedNames>
    <definedName name="_xlnm._FilterDatabase" localSheetId="0" hidden="1">Sheet1!$A$33:$B$69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<sst xmlns="http://schemas.openxmlformats.org/spreadsheetml/2006/main" count="256" uniqueCount="112">
  <si>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</si>
  <si>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</si>
  <si>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</si>
  <si>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</si>
  <si>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</si>
  <si>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</si>
  <si>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</si>
  <si>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</si>
  <si>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</si>
  <si>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</si>
  <si>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</si>
  <si>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</si>
  <si>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</si>
  <si>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</si>
  <si>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</si>
  <si>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</si>
  <si>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</si>
  <si>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</si>
  <si>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</si>
  <si>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</si>
  <si>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</si>
  <si>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</si>
  <si>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</si>
  <si>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</si>
  <si>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</si>
  <si>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</si>
  <si>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</si>
  <si>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</si>
  <si>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</si>
  <si>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</si>
  <si>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</si>
  <si>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</si>
  <si>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</si>
  <si>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</si>
  <si>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</si>
  <si>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</si>
  <si>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</si>
  <si>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</si>
  <si>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</si>
  <si>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</si>
  <si>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</si>
  <si>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</si>
  <si>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</si>
  <si>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</si>
  <si>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</si>
  <si>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</si>
  <si>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</si>
  <si>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</si>
  <si>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</si>
  <si>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</si>
  <si>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</si>
  <si>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</si>
  <si>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</si>
  <si>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</si>
  <si>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</si>
  <si>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</si>
  <si>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</si>
  <si>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</si>
  <si>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</si>
  <si>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</si>
  <si>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</si>
  <si>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</si>
  <si>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</si>
  <si>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</si>
  <si>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</si>
  <si>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</si>
  <si>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</si>
  <si>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</si>
  <si>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</si>
  <si>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</si>
  <si>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</si>
  <si>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</si>
  <si>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</si>
  <si>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</si>
  <si>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</si>
  <si>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</si>
  <si>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</si>
  <si>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</si>
  <si>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</si>
  <si>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</si>
  <si>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</si>
  <si>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</si>
  <si>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</si>
  <si>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</si>
  <si>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</si>
  <si>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</si>
  <si>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</si>
  <si>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</si>
  <si>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</si>
  <si>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</si>
  <si>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</si>
  <si>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t>Q1.</t>
  </si>
  <si>
    <t>Write a VLOOKUP formula to return the ProductName for SaleID = 12.</t>
  </si>
  <si>
    <t>Ans=</t>
  </si>
  <si>
    <t>Q2.</t>
  </si>
  <si>
    <t>Using VLOOKUP, fetch the UnitPrice of the product purchased by CustomerName = "Mahesh More".</t>
  </si>
  <si>
    <t>Q3.</t>
  </si>
  <si>
    <t>Use VLOOKUP to find the Quantity sold for SaleID = 25.</t>
  </si>
  <si>
    <t>Q4.</t>
  </si>
  <si>
    <t>Write a VLOOKUP formula to return the Region where SaleID = 19 was made.</t>
  </si>
  <si>
    <t>Q5.</t>
  </si>
  <si>
    <t>Using VLOOKUP, get the SalesPerson who handled the sale for SaleID = 5.</t>
  </si>
  <si>
    <t>Q6.</t>
  </si>
  <si>
    <t>Use VLOOKUP to find the PaymentMethod used for Customer = "Vaishnavi Patil".</t>
  </si>
  <si>
    <t>Q7.</t>
  </si>
  <si>
    <t>Create a VLOOKUP formula that returns the TotalAmount for ProductName = "Refrigerator".</t>
  </si>
  <si>
    <t>Q8.</t>
  </si>
  <si>
    <t>Return the Status of the sale for SaleID = 8 using VLOOKUP.</t>
  </si>
  <si>
    <t>Q9.</t>
  </si>
  <si>
    <t>Using VLOOKUP, find the Category of the product purchased by Customer = "Tanvi Joshi".</t>
  </si>
  <si>
    <t>Q10.</t>
  </si>
  <si>
    <t>Write a VLOOKUP formula to get the Date of the transaction for SaleID = 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</si>
</sst>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workbookViewId="0">
      <pane ySplit="1" topLeftCell="A2" activePane="bottomLeft" state="frozen"/>
      <selection/>
      <selection pane="bottomLeft" activeCell="E8" sqref="E8"/>
    </sheetView>
  </sheetViews>
  <sheetFormatPr defaultColWidth="9" defaultRowHeight="14.4"/>
  <cols>
    <col min="1" max="1" width="6.22222222222222" customWidth="1"/>
    <col min="2" max="2" width="10.3333333333333" customWidth="1"/>
    <col min="3" max="3" width="16.2222222222222" customWidth="1"/>
    <col min="4" max="4" width="16.1111111111111" customWidth="1"/>
    <col min="5" max="5" width="16.6296296296296" customWidth="1"/>
    <col min="6" max="6" width="9.67592592592593" customWidth="1"/>
    <col min="7" max="7" width="8.66666666666667" customWidth="1"/>
    <col min="8" max="8" width="12.1111111111111" customWidth="1"/>
    <col min="9" max="9" width="12.7777777777778" customWidth="1"/>
    <col min="10" max="10" width="6.77777777777778" customWidth="1"/>
    <col min="11" max="11" width="15.4444444444444" customWidth="1"/>
    <col min="12" max="12" width="6.222222222222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>
        <v>45660</v>
      </c>
      <c r="C2" s="2" t="s">
        <v>12</v>
      </c>
      <c r="D2" s="2" t="s">
        <v>13</v>
      </c>
      <c r="E2" s="2" t="s">
        <v>14</v>
      </c>
      <c r="F2" s="2">
        <v>1</v>
      </c>
      <c r="G2" s="2">
        <v>55000</v>
      </c>
      <c r="H2" s="2">
        <v>55000</v>
      </c>
      <c r="I2" s="2" t="s">
        <v>15</v>
      </c>
      <c r="J2" s="2" t="s">
        <v>16</v>
      </c>
      <c r="K2" s="6" t="s">
        <v>17</v>
      </c>
      <c r="L2" s="6" t="s">
        <v>18</v>
      </c>
    </row>
    <row r="3" spans="1:12">
      <c r="A3" s="2">
        <v>2</v>
      </c>
      <c r="B3" s="3">
        <v>45661</v>
      </c>
      <c r="C3" s="2" t="s">
        <v>19</v>
      </c>
      <c r="D3" s="2" t="s">
        <v>20</v>
      </c>
      <c r="E3" s="2" t="s">
        <v>14</v>
      </c>
      <c r="F3" s="2">
        <v>2</v>
      </c>
      <c r="G3" s="2">
        <v>18000</v>
      </c>
      <c r="H3" s="2">
        <v>36000</v>
      </c>
      <c r="I3" s="2" t="s">
        <v>21</v>
      </c>
      <c r="J3" s="2" t="s">
        <v>22</v>
      </c>
      <c r="K3" s="6" t="s">
        <v>23</v>
      </c>
      <c r="L3" s="6" t="s">
        <v>18</v>
      </c>
    </row>
    <row r="4" spans="1:12">
      <c r="A4" s="2">
        <v>3</v>
      </c>
      <c r="B4" s="3">
        <v>45662</v>
      </c>
      <c r="C4" s="2" t="s">
        <v>24</v>
      </c>
      <c r="D4" s="2" t="s">
        <v>25</v>
      </c>
      <c r="E4" s="2" t="s">
        <v>26</v>
      </c>
      <c r="F4" s="2">
        <v>3</v>
      </c>
      <c r="G4" s="2">
        <v>4500</v>
      </c>
      <c r="H4" s="2">
        <v>13500</v>
      </c>
      <c r="I4" s="2" t="s">
        <v>27</v>
      </c>
      <c r="J4" s="2" t="s">
        <v>28</v>
      </c>
      <c r="K4" s="6" t="s">
        <v>17</v>
      </c>
      <c r="L4" s="6" t="s">
        <v>18</v>
      </c>
    </row>
    <row r="5" spans="1:12">
      <c r="A5" s="4">
        <v>4</v>
      </c>
      <c r="B5" s="5">
        <v>45663</v>
      </c>
      <c r="C5" s="4" t="s">
        <v>29</v>
      </c>
      <c r="D5" s="4" t="s">
        <v>30</v>
      </c>
      <c r="E5" s="4" t="s">
        <v>31</v>
      </c>
      <c r="F5" s="4">
        <v>1</v>
      </c>
      <c r="G5" s="4">
        <v>7000</v>
      </c>
      <c r="H5" s="4">
        <v>7000</v>
      </c>
      <c r="I5" s="2" t="s">
        <v>32</v>
      </c>
      <c r="J5" s="2" t="s">
        <v>33</v>
      </c>
      <c r="K5" s="6" t="s">
        <v>34</v>
      </c>
      <c r="L5" s="6" t="s">
        <v>18</v>
      </c>
    </row>
    <row r="6" spans="1:12">
      <c r="A6" s="4">
        <v>5</v>
      </c>
      <c r="B6" s="5">
        <v>45664</v>
      </c>
      <c r="C6" s="4" t="s">
        <v>35</v>
      </c>
      <c r="D6" s="4" t="s">
        <v>36</v>
      </c>
      <c r="E6" s="4" t="s">
        <v>31</v>
      </c>
      <c r="F6" s="4">
        <v>2</v>
      </c>
      <c r="G6" s="4">
        <v>2300</v>
      </c>
      <c r="H6" s="4">
        <v>4600</v>
      </c>
      <c r="I6" s="2" t="s">
        <v>37</v>
      </c>
      <c r="J6" s="2" t="s">
        <v>16</v>
      </c>
      <c r="K6" s="6" t="s">
        <v>17</v>
      </c>
      <c r="L6" s="6" t="s">
        <v>18</v>
      </c>
    </row>
    <row r="7" spans="1:12">
      <c r="A7" s="4">
        <v>6</v>
      </c>
      <c r="B7" s="5">
        <v>45665</v>
      </c>
      <c r="C7" s="4" t="s">
        <v>38</v>
      </c>
      <c r="D7" s="4" t="s">
        <v>39</v>
      </c>
      <c r="E7" s="4" t="s">
        <v>14</v>
      </c>
      <c r="F7" s="4">
        <v>1</v>
      </c>
      <c r="G7" s="4">
        <v>32000</v>
      </c>
      <c r="H7" s="4">
        <v>32000</v>
      </c>
      <c r="I7" s="2" t="s">
        <v>15</v>
      </c>
      <c r="J7" s="2" t="s">
        <v>22</v>
      </c>
      <c r="K7" s="6" t="s">
        <v>23</v>
      </c>
      <c r="L7" s="6" t="s">
        <v>18</v>
      </c>
    </row>
    <row r="8" spans="1:12">
      <c r="A8" s="2">
        <v>7</v>
      </c>
      <c r="B8" s="3">
        <v>45666</v>
      </c>
      <c r="C8" s="2" t="s">
        <v>40</v>
      </c>
      <c r="D8" s="2" t="s">
        <v>41</v>
      </c>
      <c r="E8" s="2" t="s">
        <v>14</v>
      </c>
      <c r="F8" s="2">
        <v>2</v>
      </c>
      <c r="G8" s="2">
        <v>1500</v>
      </c>
      <c r="H8" s="2">
        <v>3000</v>
      </c>
      <c r="I8" s="2" t="s">
        <v>21</v>
      </c>
      <c r="J8" s="2" t="s">
        <v>28</v>
      </c>
      <c r="K8" s="6" t="s">
        <v>17</v>
      </c>
      <c r="L8" s="6" t="s">
        <v>18</v>
      </c>
    </row>
    <row r="9" spans="1:12">
      <c r="A9" s="2">
        <v>8</v>
      </c>
      <c r="B9" s="3">
        <v>45667</v>
      </c>
      <c r="C9" s="2" t="s">
        <v>42</v>
      </c>
      <c r="D9" s="2" t="s">
        <v>43</v>
      </c>
      <c r="E9" s="2" t="s">
        <v>26</v>
      </c>
      <c r="F9" s="2">
        <v>1</v>
      </c>
      <c r="G9" s="2">
        <v>6000</v>
      </c>
      <c r="H9" s="2">
        <v>6000</v>
      </c>
      <c r="I9" s="2" t="s">
        <v>27</v>
      </c>
      <c r="J9" s="2" t="s">
        <v>33</v>
      </c>
      <c r="K9" s="6" t="s">
        <v>44</v>
      </c>
      <c r="L9" s="6" t="s">
        <v>18</v>
      </c>
    </row>
    <row r="10" spans="1:12">
      <c r="A10" s="2">
        <v>9</v>
      </c>
      <c r="B10" s="3">
        <v>45668</v>
      </c>
      <c r="C10" s="2" t="s">
        <v>45</v>
      </c>
      <c r="D10" s="2" t="s">
        <v>46</v>
      </c>
      <c r="E10" s="2" t="s">
        <v>31</v>
      </c>
      <c r="F10" s="2">
        <v>1</v>
      </c>
      <c r="G10" s="2">
        <v>28000</v>
      </c>
      <c r="H10" s="2">
        <v>28000</v>
      </c>
      <c r="I10" s="2" t="s">
        <v>32</v>
      </c>
      <c r="J10" s="2" t="s">
        <v>16</v>
      </c>
      <c r="K10" s="6" t="s">
        <v>17</v>
      </c>
      <c r="L10" s="6" t="s">
        <v>18</v>
      </c>
    </row>
    <row r="11" spans="1:12">
      <c r="A11" s="2">
        <v>10</v>
      </c>
      <c r="B11" s="3">
        <v>45669</v>
      </c>
      <c r="C11" s="2" t="s">
        <v>47</v>
      </c>
      <c r="D11" s="2" t="s">
        <v>48</v>
      </c>
      <c r="E11" s="2" t="s">
        <v>26</v>
      </c>
      <c r="F11" s="2">
        <v>3</v>
      </c>
      <c r="G11" s="2">
        <v>900</v>
      </c>
      <c r="H11" s="2">
        <v>2700</v>
      </c>
      <c r="I11" s="2" t="s">
        <v>37</v>
      </c>
      <c r="J11" s="2" t="s">
        <v>22</v>
      </c>
      <c r="K11" s="6" t="s">
        <v>34</v>
      </c>
      <c r="L11" s="6" t="s">
        <v>18</v>
      </c>
    </row>
    <row r="12" spans="1:12">
      <c r="A12" s="2">
        <v>11</v>
      </c>
      <c r="B12" s="3">
        <v>45670</v>
      </c>
      <c r="C12" s="2" t="s">
        <v>49</v>
      </c>
      <c r="D12" s="2" t="s">
        <v>50</v>
      </c>
      <c r="E12" s="2" t="s">
        <v>31</v>
      </c>
      <c r="F12" s="2">
        <v>1</v>
      </c>
      <c r="G12" s="2">
        <v>8500</v>
      </c>
      <c r="H12" s="2">
        <v>8500</v>
      </c>
      <c r="I12" s="2" t="s">
        <v>15</v>
      </c>
      <c r="J12" s="2" t="s">
        <v>28</v>
      </c>
      <c r="K12" s="6" t="s">
        <v>23</v>
      </c>
      <c r="L12" s="6" t="s">
        <v>18</v>
      </c>
    </row>
    <row r="13" spans="1:12">
      <c r="A13" s="2">
        <v>12</v>
      </c>
      <c r="B13" s="3">
        <v>45671</v>
      </c>
      <c r="C13" s="2" t="s">
        <v>51</v>
      </c>
      <c r="D13" s="2" t="s">
        <v>52</v>
      </c>
      <c r="E13" s="2" t="s">
        <v>14</v>
      </c>
      <c r="F13" s="2">
        <v>1</v>
      </c>
      <c r="G13" s="2">
        <v>12000</v>
      </c>
      <c r="H13" s="2">
        <v>12000</v>
      </c>
      <c r="I13" s="2" t="s">
        <v>21</v>
      </c>
      <c r="J13" s="2" t="s">
        <v>33</v>
      </c>
      <c r="K13" s="6" t="s">
        <v>17</v>
      </c>
      <c r="L13" s="6" t="s">
        <v>18</v>
      </c>
    </row>
    <row r="14" spans="1:12">
      <c r="A14" s="6">
        <v>13</v>
      </c>
      <c r="B14" s="7">
        <v>45672</v>
      </c>
      <c r="C14" s="6" t="s">
        <v>53</v>
      </c>
      <c r="D14" s="6" t="s">
        <v>54</v>
      </c>
      <c r="E14" s="6" t="s">
        <v>55</v>
      </c>
      <c r="F14" s="6">
        <v>2</v>
      </c>
      <c r="G14" s="6">
        <v>2000</v>
      </c>
      <c r="H14" s="6">
        <v>4000</v>
      </c>
      <c r="I14" s="6" t="s">
        <v>27</v>
      </c>
      <c r="J14" s="6" t="s">
        <v>16</v>
      </c>
      <c r="K14" s="6" t="s">
        <v>44</v>
      </c>
      <c r="L14" s="6" t="s">
        <v>18</v>
      </c>
    </row>
    <row r="15" spans="1:12">
      <c r="A15" s="6">
        <v>14</v>
      </c>
      <c r="B15" s="7">
        <v>45673</v>
      </c>
      <c r="C15" s="6" t="s">
        <v>56</v>
      </c>
      <c r="D15" s="6" t="s">
        <v>57</v>
      </c>
      <c r="E15" s="6" t="s">
        <v>55</v>
      </c>
      <c r="F15" s="6">
        <v>4</v>
      </c>
      <c r="G15" s="6">
        <v>400</v>
      </c>
      <c r="H15" s="6">
        <v>1600</v>
      </c>
      <c r="I15" s="6" t="s">
        <v>32</v>
      </c>
      <c r="J15" s="6" t="s">
        <v>22</v>
      </c>
      <c r="K15" s="6" t="s">
        <v>17</v>
      </c>
      <c r="L15" s="6" t="s">
        <v>18</v>
      </c>
    </row>
    <row r="16" spans="1:12">
      <c r="A16" s="6">
        <v>15</v>
      </c>
      <c r="B16" s="7">
        <v>45674</v>
      </c>
      <c r="C16" s="6" t="s">
        <v>58</v>
      </c>
      <c r="D16" s="6" t="s">
        <v>59</v>
      </c>
      <c r="E16" s="6" t="s">
        <v>55</v>
      </c>
      <c r="F16" s="6">
        <v>1</v>
      </c>
      <c r="G16" s="6">
        <v>1500</v>
      </c>
      <c r="H16" s="6">
        <v>1500</v>
      </c>
      <c r="I16" s="6" t="s">
        <v>37</v>
      </c>
      <c r="J16" s="6" t="s">
        <v>28</v>
      </c>
      <c r="K16" s="6" t="s">
        <v>34</v>
      </c>
      <c r="L16" s="6" t="s">
        <v>18</v>
      </c>
    </row>
    <row r="17" spans="1:12">
      <c r="A17" s="6">
        <v>16</v>
      </c>
      <c r="B17" s="7">
        <v>45675</v>
      </c>
      <c r="C17" s="6" t="s">
        <v>60</v>
      </c>
      <c r="D17" s="6" t="s">
        <v>61</v>
      </c>
      <c r="E17" s="6" t="s">
        <v>31</v>
      </c>
      <c r="F17" s="6">
        <v>1</v>
      </c>
      <c r="G17" s="6">
        <v>24000</v>
      </c>
      <c r="H17" s="6">
        <v>24000</v>
      </c>
      <c r="I17" s="6" t="s">
        <v>15</v>
      </c>
      <c r="J17" s="6" t="s">
        <v>33</v>
      </c>
      <c r="K17" s="6" t="s">
        <v>23</v>
      </c>
      <c r="L17" s="6" t="s">
        <v>18</v>
      </c>
    </row>
    <row r="18" spans="1:12">
      <c r="A18" s="6">
        <v>17</v>
      </c>
      <c r="B18" s="7">
        <v>45676</v>
      </c>
      <c r="C18" s="6" t="s">
        <v>62</v>
      </c>
      <c r="D18" s="6" t="s">
        <v>63</v>
      </c>
      <c r="E18" s="6" t="s">
        <v>14</v>
      </c>
      <c r="F18" s="6">
        <v>1</v>
      </c>
      <c r="G18" s="6">
        <v>9500</v>
      </c>
      <c r="H18" s="6">
        <v>9500</v>
      </c>
      <c r="I18" s="6" t="s">
        <v>21</v>
      </c>
      <c r="J18" s="6" t="s">
        <v>16</v>
      </c>
      <c r="K18" s="6" t="s">
        <v>17</v>
      </c>
      <c r="L18" s="6" t="s">
        <v>18</v>
      </c>
    </row>
    <row r="19" spans="1:12">
      <c r="A19" s="6">
        <v>18</v>
      </c>
      <c r="B19" s="7">
        <v>45677</v>
      </c>
      <c r="C19" s="6" t="s">
        <v>64</v>
      </c>
      <c r="D19" s="6" t="s">
        <v>65</v>
      </c>
      <c r="E19" s="6" t="s">
        <v>31</v>
      </c>
      <c r="F19" s="6">
        <v>2</v>
      </c>
      <c r="G19" s="6">
        <v>2700</v>
      </c>
      <c r="H19" s="6">
        <v>5400</v>
      </c>
      <c r="I19" s="6" t="s">
        <v>27</v>
      </c>
      <c r="J19" s="6" t="s">
        <v>22</v>
      </c>
      <c r="K19" s="6" t="s">
        <v>34</v>
      </c>
      <c r="L19" s="6" t="s">
        <v>18</v>
      </c>
    </row>
    <row r="20" spans="1:12">
      <c r="A20" s="6">
        <v>19</v>
      </c>
      <c r="B20" s="7">
        <v>45678</v>
      </c>
      <c r="C20" s="6" t="s">
        <v>66</v>
      </c>
      <c r="D20" s="6" t="s">
        <v>67</v>
      </c>
      <c r="E20" s="6" t="s">
        <v>31</v>
      </c>
      <c r="F20" s="6">
        <v>1</v>
      </c>
      <c r="G20" s="6">
        <v>15000</v>
      </c>
      <c r="H20" s="6">
        <v>15000</v>
      </c>
      <c r="I20" s="6" t="s">
        <v>32</v>
      </c>
      <c r="J20" s="6" t="s">
        <v>28</v>
      </c>
      <c r="K20" s="6" t="s">
        <v>17</v>
      </c>
      <c r="L20" s="6" t="s">
        <v>18</v>
      </c>
    </row>
    <row r="21" spans="1:12">
      <c r="A21" s="6">
        <v>20</v>
      </c>
      <c r="B21" s="7">
        <v>45679</v>
      </c>
      <c r="C21" s="6" t="s">
        <v>68</v>
      </c>
      <c r="D21" s="6" t="s">
        <v>69</v>
      </c>
      <c r="E21" s="6" t="s">
        <v>26</v>
      </c>
      <c r="F21" s="6">
        <v>1</v>
      </c>
      <c r="G21" s="6">
        <v>18000</v>
      </c>
      <c r="H21" s="6">
        <v>18000</v>
      </c>
      <c r="I21" s="6" t="s">
        <v>37</v>
      </c>
      <c r="J21" s="6" t="s">
        <v>33</v>
      </c>
      <c r="K21" s="6" t="s">
        <v>23</v>
      </c>
      <c r="L21" s="6" t="s">
        <v>18</v>
      </c>
    </row>
    <row r="22" spans="1:12">
      <c r="A22" s="6">
        <v>21</v>
      </c>
      <c r="B22" s="7">
        <v>45680</v>
      </c>
      <c r="C22" s="6" t="s">
        <v>70</v>
      </c>
      <c r="D22" s="6" t="s">
        <v>71</v>
      </c>
      <c r="E22" s="6" t="s">
        <v>31</v>
      </c>
      <c r="F22" s="6">
        <v>1</v>
      </c>
      <c r="G22" s="6">
        <v>2500</v>
      </c>
      <c r="H22" s="6">
        <v>2500</v>
      </c>
      <c r="I22" s="6" t="s">
        <v>15</v>
      </c>
      <c r="J22" s="6" t="s">
        <v>16</v>
      </c>
      <c r="K22" s="6" t="s">
        <v>17</v>
      </c>
      <c r="L22" s="6" t="s">
        <v>18</v>
      </c>
    </row>
    <row r="23" spans="1:12">
      <c r="A23" s="6">
        <v>22</v>
      </c>
      <c r="B23" s="7">
        <v>45681</v>
      </c>
      <c r="C23" s="6" t="s">
        <v>72</v>
      </c>
      <c r="D23" s="6" t="s">
        <v>73</v>
      </c>
      <c r="E23" s="6" t="s">
        <v>14</v>
      </c>
      <c r="F23" s="6">
        <v>2</v>
      </c>
      <c r="G23" s="6">
        <v>1200</v>
      </c>
      <c r="H23" s="6">
        <v>2400</v>
      </c>
      <c r="I23" s="6" t="s">
        <v>21</v>
      </c>
      <c r="J23" s="6" t="s">
        <v>22</v>
      </c>
      <c r="K23" s="6" t="s">
        <v>44</v>
      </c>
      <c r="L23" s="6" t="s">
        <v>18</v>
      </c>
    </row>
    <row r="24" spans="1:12">
      <c r="A24" s="6">
        <v>23</v>
      </c>
      <c r="B24" s="7">
        <v>45682</v>
      </c>
      <c r="C24" s="6" t="s">
        <v>74</v>
      </c>
      <c r="D24" s="6" t="s">
        <v>75</v>
      </c>
      <c r="E24" s="6" t="s">
        <v>55</v>
      </c>
      <c r="F24" s="6">
        <v>2</v>
      </c>
      <c r="G24" s="6">
        <v>1100</v>
      </c>
      <c r="H24" s="6">
        <v>2200</v>
      </c>
      <c r="I24" s="6" t="s">
        <v>27</v>
      </c>
      <c r="J24" s="6" t="s">
        <v>28</v>
      </c>
      <c r="K24" s="6" t="s">
        <v>34</v>
      </c>
      <c r="L24" s="6" t="s">
        <v>18</v>
      </c>
    </row>
    <row r="25" spans="1:12">
      <c r="A25" s="6">
        <v>24</v>
      </c>
      <c r="B25" s="7">
        <v>45683</v>
      </c>
      <c r="C25" s="6" t="s">
        <v>76</v>
      </c>
      <c r="D25" s="6" t="s">
        <v>77</v>
      </c>
      <c r="E25" s="6" t="s">
        <v>26</v>
      </c>
      <c r="F25" s="6">
        <v>1</v>
      </c>
      <c r="G25" s="6">
        <v>14000</v>
      </c>
      <c r="H25" s="6">
        <v>14000</v>
      </c>
      <c r="I25" s="6" t="s">
        <v>32</v>
      </c>
      <c r="J25" s="6" t="s">
        <v>33</v>
      </c>
      <c r="K25" s="6" t="s">
        <v>17</v>
      </c>
      <c r="L25" s="6" t="s">
        <v>18</v>
      </c>
    </row>
    <row r="26" spans="1:12">
      <c r="A26" s="6">
        <v>25</v>
      </c>
      <c r="B26" s="7">
        <v>45684</v>
      </c>
      <c r="C26" s="6" t="s">
        <v>78</v>
      </c>
      <c r="D26" s="6" t="s">
        <v>79</v>
      </c>
      <c r="E26" s="6" t="s">
        <v>55</v>
      </c>
      <c r="F26" s="6">
        <v>1</v>
      </c>
      <c r="G26" s="6">
        <v>1900</v>
      </c>
      <c r="H26" s="6">
        <v>1900</v>
      </c>
      <c r="I26" s="6" t="s">
        <v>37</v>
      </c>
      <c r="J26" s="6" t="s">
        <v>16</v>
      </c>
      <c r="K26" s="6" t="s">
        <v>34</v>
      </c>
      <c r="L26" s="6" t="s">
        <v>18</v>
      </c>
    </row>
    <row r="27" spans="1:12">
      <c r="A27" s="6">
        <v>26</v>
      </c>
      <c r="B27" s="7">
        <v>45685</v>
      </c>
      <c r="C27" s="6" t="s">
        <v>80</v>
      </c>
      <c r="D27" s="6" t="s">
        <v>81</v>
      </c>
      <c r="E27" s="6" t="s">
        <v>14</v>
      </c>
      <c r="F27" s="6">
        <v>1</v>
      </c>
      <c r="G27" s="6">
        <v>4500</v>
      </c>
      <c r="H27" s="6">
        <v>4500</v>
      </c>
      <c r="I27" s="6" t="s">
        <v>15</v>
      </c>
      <c r="J27" s="6" t="s">
        <v>22</v>
      </c>
      <c r="K27" s="6" t="s">
        <v>17</v>
      </c>
      <c r="L27" s="6" t="s">
        <v>18</v>
      </c>
    </row>
    <row r="28" spans="1:12">
      <c r="A28" s="6">
        <v>27</v>
      </c>
      <c r="B28" s="7">
        <v>45686</v>
      </c>
      <c r="C28" s="6" t="s">
        <v>82</v>
      </c>
      <c r="D28" s="6" t="s">
        <v>83</v>
      </c>
      <c r="E28" s="6" t="s">
        <v>55</v>
      </c>
      <c r="F28" s="6">
        <v>1</v>
      </c>
      <c r="G28" s="6">
        <v>2200</v>
      </c>
      <c r="H28" s="6">
        <v>2200</v>
      </c>
      <c r="I28" s="6" t="s">
        <v>21</v>
      </c>
      <c r="J28" s="6" t="s">
        <v>28</v>
      </c>
      <c r="K28" s="6" t="s">
        <v>23</v>
      </c>
      <c r="L28" s="6" t="s">
        <v>18</v>
      </c>
    </row>
    <row r="29" spans="1:12">
      <c r="A29" s="6">
        <v>28</v>
      </c>
      <c r="B29" s="7">
        <v>45687</v>
      </c>
      <c r="C29" s="6" t="s">
        <v>84</v>
      </c>
      <c r="D29" s="6" t="s">
        <v>85</v>
      </c>
      <c r="E29" s="6" t="s">
        <v>86</v>
      </c>
      <c r="F29" s="6">
        <v>5</v>
      </c>
      <c r="G29" s="6">
        <v>300</v>
      </c>
      <c r="H29" s="6">
        <v>1500</v>
      </c>
      <c r="I29" s="6" t="s">
        <v>27</v>
      </c>
      <c r="J29" s="6" t="s">
        <v>33</v>
      </c>
      <c r="K29" s="6" t="s">
        <v>17</v>
      </c>
      <c r="L29" s="6" t="s">
        <v>18</v>
      </c>
    </row>
    <row r="30" spans="1:12">
      <c r="A30" s="6">
        <v>29</v>
      </c>
      <c r="B30" s="7">
        <v>45688</v>
      </c>
      <c r="C30" s="6" t="s">
        <v>87</v>
      </c>
      <c r="D30" s="6" t="s">
        <v>88</v>
      </c>
      <c r="E30" s="6" t="s">
        <v>86</v>
      </c>
      <c r="F30" s="6">
        <v>10</v>
      </c>
      <c r="G30" s="6">
        <v>50</v>
      </c>
      <c r="H30" s="6">
        <v>500</v>
      </c>
      <c r="I30" s="6" t="s">
        <v>32</v>
      </c>
      <c r="J30" s="6" t="s">
        <v>16</v>
      </c>
      <c r="K30" s="6" t="s">
        <v>34</v>
      </c>
      <c r="L30" s="6" t="s">
        <v>18</v>
      </c>
    </row>
    <row r="31" spans="1:12">
      <c r="A31" s="6">
        <v>30</v>
      </c>
      <c r="B31" s="7">
        <v>45689</v>
      </c>
      <c r="C31" s="6" t="s">
        <v>89</v>
      </c>
      <c r="D31" s="6" t="s">
        <v>90</v>
      </c>
      <c r="E31" s="6" t="s">
        <v>86</v>
      </c>
      <c r="F31" s="6">
        <v>3</v>
      </c>
      <c r="G31" s="6">
        <v>150</v>
      </c>
      <c r="H31" s="6">
        <v>450</v>
      </c>
      <c r="I31" s="6" t="s">
        <v>37</v>
      </c>
      <c r="J31" s="6" t="s">
        <v>22</v>
      </c>
      <c r="K31" s="6" t="s">
        <v>17</v>
      </c>
      <c r="L31" s="6" t="s">
        <v>18</v>
      </c>
    </row>
    <row r="33" spans="1:5">
      <c r="A33" s="8" t="s">
        <v>91</v>
      </c>
      <c r="B33" s="8" t="s">
        <v>92</v>
      </c>
      <c r="C33" s="8"/>
      <c r="D33" s="8"/>
      <c r="E33" s="8"/>
    </row>
    <row r="35" spans="2:4">
      <c r="B35" s="8" t="s">
        <v>93</v>
      </c>
      <c r="C35" s="6">
        <v>12</v>
      </c>
      <c r="D35" s="6" t="str">
        <f>VLOOKUP(C35,A1:L31,4,0)</f>
        <v>Printer</v>
      </c>
    </row>
    <row r="37" spans="1:8">
      <c r="A37" s="8" t="s">
        <v>94</v>
      </c>
      <c r="B37" s="8" t="s">
        <v>95</v>
      </c>
      <c r="C37" s="8"/>
      <c r="D37" s="8"/>
      <c r="E37" s="8"/>
      <c r="F37" s="8"/>
      <c r="G37" s="8"/>
      <c r="H37" s="8"/>
    </row>
    <row r="39" spans="2:4">
      <c r="B39" s="8" t="s">
        <v>93</v>
      </c>
      <c r="C39" s="9" t="s">
        <v>45</v>
      </c>
      <c r="D39" s="9">
        <f>VLOOKUP(C39,C1:L31,5,0)</f>
        <v>28000</v>
      </c>
    </row>
    <row r="41" spans="1:5">
      <c r="A41" s="8" t="s">
        <v>96</v>
      </c>
      <c r="B41" s="8" t="s">
        <v>97</v>
      </c>
      <c r="C41" s="8"/>
      <c r="D41" s="8"/>
      <c r="E41" s="8"/>
    </row>
    <row r="43" spans="2:4">
      <c r="B43" s="8" t="s">
        <v>93</v>
      </c>
      <c r="C43" s="9">
        <v>25</v>
      </c>
      <c r="D43" s="9">
        <f>VLOOKUP(C43,A1:L31,6,0)</f>
        <v>1</v>
      </c>
    </row>
    <row r="45" spans="1:6">
      <c r="A45" s="8" t="s">
        <v>98</v>
      </c>
      <c r="B45" s="8" t="s">
        <v>99</v>
      </c>
      <c r="C45" s="8"/>
      <c r="D45" s="8"/>
      <c r="E45" s="8"/>
      <c r="F45" s="8"/>
    </row>
    <row r="47" spans="2:4">
      <c r="B47" s="8" t="s">
        <v>93</v>
      </c>
      <c r="C47" s="9">
        <v>19</v>
      </c>
      <c r="D47" s="9" t="str">
        <f>VLOOKUP(C47,A1:L31,10,0)</f>
        <v>South</v>
      </c>
    </row>
    <row r="49" spans="1:6">
      <c r="A49" s="8" t="s">
        <v>100</v>
      </c>
      <c r="B49" s="8" t="s">
        <v>101</v>
      </c>
      <c r="C49" s="8"/>
      <c r="D49" s="8"/>
      <c r="E49" s="8"/>
      <c r="F49" s="8"/>
    </row>
    <row r="50" spans="6:6">
      <c r="F50" s="8"/>
    </row>
    <row r="51" spans="2:4">
      <c r="B51" s="8" t="s">
        <v>93</v>
      </c>
      <c r="C51" s="9">
        <v>5</v>
      </c>
      <c r="D51" s="9" t="str">
        <f>VLOOKUP(C51,A1:L31,9,0)</f>
        <v>Deepa Nair</v>
      </c>
    </row>
    <row r="53" spans="1:7">
      <c r="A53" s="8" t="s">
        <v>102</v>
      </c>
      <c r="B53" s="8" t="s">
        <v>103</v>
      </c>
      <c r="C53" s="8"/>
      <c r="D53" s="8"/>
      <c r="E53" s="8"/>
      <c r="F53" s="8"/>
      <c r="G53" s="8"/>
    </row>
    <row r="55" spans="2:4">
      <c r="B55" s="8" t="s">
        <v>93</v>
      </c>
      <c r="C55" s="9" t="s">
        <v>64</v>
      </c>
      <c r="D55" s="9" t="str">
        <f>VLOOKUP(C55,C1:L31,9,0)</f>
        <v>Cash</v>
      </c>
    </row>
    <row r="57" spans="1:8">
      <c r="A57" s="8" t="s">
        <v>104</v>
      </c>
      <c r="B57" s="8" t="s">
        <v>105</v>
      </c>
      <c r="C57" s="8"/>
      <c r="D57" s="8"/>
      <c r="E57" s="8"/>
      <c r="F57" s="8"/>
      <c r="G57" s="8"/>
      <c r="H57" s="8"/>
    </row>
    <row r="58" spans="4:4">
      <c r="D58" s="10"/>
    </row>
    <row r="59" spans="2:4">
      <c r="B59" s="8" t="s">
        <v>93</v>
      </c>
      <c r="C59" s="9" t="s">
        <v>46</v>
      </c>
      <c r="D59" s="8">
        <f>VLOOKUP(C59,D1:L31,5,0)</f>
        <v>28000</v>
      </c>
    </row>
    <row r="61" spans="1:5">
      <c r="A61" s="8" t="s">
        <v>106</v>
      </c>
      <c r="B61" s="8" t="s">
        <v>107</v>
      </c>
      <c r="C61" s="8"/>
      <c r="D61" s="8"/>
      <c r="E61" s="8"/>
    </row>
    <row r="62" spans="4:4">
      <c r="D62" s="10"/>
    </row>
    <row r="63" spans="2:4">
      <c r="B63" s="8" t="s">
        <v>93</v>
      </c>
      <c r="C63" s="9">
        <v>8</v>
      </c>
      <c r="D63" s="8" t="str">
        <f>VLOOKUP(C63,A1:L31,12,0)</f>
        <v>Paid</v>
      </c>
    </row>
    <row r="65" spans="1:7">
      <c r="A65" s="8" t="s">
        <v>108</v>
      </c>
      <c r="B65" s="8" t="s">
        <v>109</v>
      </c>
      <c r="C65" s="8"/>
      <c r="D65" s="8"/>
      <c r="E65" s="8"/>
      <c r="F65" s="8"/>
      <c r="G65" s="8"/>
    </row>
    <row r="67" spans="2:4">
      <c r="B67" s="8" t="s">
        <v>93</v>
      </c>
      <c r="C67" s="9" t="s">
        <v>56</v>
      </c>
      <c r="D67" s="9" t="str">
        <f>VLOOKUP(C67,C1:L31,3,0)</f>
        <v>Fashion</v>
      </c>
    </row>
    <row r="69" spans="1:7">
      <c r="A69" s="8" t="s">
        <v>110</v>
      </c>
      <c r="B69" s="8" t="s">
        <v>111</v>
      </c>
      <c r="C69" s="8"/>
      <c r="D69" s="8"/>
      <c r="E69" s="8"/>
      <c r="F69" s="8"/>
      <c r="G69" s="11"/>
    </row>
    <row r="71" spans="2:4">
      <c r="B71" s="8" t="s">
        <v>93</v>
      </c>
      <c r="C71" s="9">
        <v>17</v>
      </c>
      <c r="D71" s="9" t="str">
        <f>TEXT(VLOOKUP(C71,A2:D100,2,FALSE),"dd-mm-yyyy")</f>
        <v>19-01-2025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Abhijit Patil</cp:lastModifiedBy>
  <dcterms:created xsi:type="dcterms:W3CDTF">2025-12-08T13:14:00Z</dcterms:created>
  <dcterms:modified xsi:type="dcterms:W3CDTF">2025-12-29T18:54:50Z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C65360AB521647EFA06F4C54E6913427_12</vt:lpwstr>
  </property>
</Properties>
</file>